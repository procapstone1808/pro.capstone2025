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8DCA953D-50FF-4FAC-8CAF-CEF374039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G78" i="1"/>
  <c r="E78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<sst xmlns="http://schemas.openxmlformats.org/spreadsheetml/2006/main" count="182" uniqueCount="67">
  <si>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</si>
  <si>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</si>
  <si>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</si>
  <si>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</si>
  <si>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</si>
  <si>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</si>
  <si>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</si>
  <si>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</si>
  <si>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</si>
  <si>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</si>
  <si>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</si>
  <si>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</si>
  <si>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</si>
  <si>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</si>
  <si>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</si>
  <si>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</si>
  <si>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</si>
  <si>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</si>
  <si>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</si>
  <si>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</si>
  <si>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</si>
  <si>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</si>
  <si>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</si>
  <si>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</si>
  <si>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</si>
  <si>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</si>
  <si>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</si>
  <si>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</si>
  <si>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</si>
  <si>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</si>
  <si>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</si>
  <si>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</si>
  <si>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</si>
  <si>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</si>
  <si>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</si>
  <si>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</si>
  <si>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</si>
  <si>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</si>
  <si>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</si>
  <si>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</si>
  <si>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</si>
  <si>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</si>
  <si>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</si>
  <si>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</si>
  <si>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</si>
  <si>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</si>
  <si>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</si>
  <si>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</si>
  <si>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</si>
  <si>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</si>
  <si>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</si>
  <si>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</si>
  <si>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</si>
  <si>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</si>
  <si>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</si>
  <si>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</si>
  <si>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</si>
  <si>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</si>
  <si>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</si>
  <si>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</si>
  <si>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</si>
  <si>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</si>
  <si>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</si>
  <si>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</si>
  <si>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HERRERA</t>
  </si>
  <si>
    <t xml:space="preserve">LEIVA </t>
  </si>
  <si>
    <t>GAJARDO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</si>
</sst>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5" sqref="B5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66</v>
      </c>
      <c r="C4" s="31">
        <f>C21</f>
        <v>5.8</v>
      </c>
      <c r="D4" s="37">
        <f>C60</f>
        <v>5.2</v>
      </c>
      <c r="E4" s="36">
        <f>C4*C$2+D4*D$2</f>
        <v>5.6199999999999992</v>
      </c>
    </row>
    <row r="5" spans="1:11" ht="14.4" x14ac:dyDescent="0.3">
      <c r="A5" s="3">
        <v>2</v>
      </c>
      <c r="B5" s="16" t="s">
        <v>64</v>
      </c>
      <c r="C5" s="31">
        <f>C34</f>
        <v>5.8</v>
      </c>
      <c r="D5" s="37">
        <f>C73</f>
        <v>5.2</v>
      </c>
      <c r="E5" s="36">
        <f t="shared" ref="E5:E6" si="0">C5*C$2+D5*D$2</f>
        <v>5.6199999999999992</v>
      </c>
    </row>
    <row r="6" spans="1:11" ht="14.4" x14ac:dyDescent="0.3">
      <c r="A6" s="3">
        <v>3</v>
      </c>
      <c r="B6" s="16" t="s">
        <v>65</v>
      </c>
      <c r="C6" s="31">
        <f>C47</f>
        <v>5.8</v>
      </c>
      <c r="D6" s="37">
        <f>C86</f>
        <v>5.2</v>
      </c>
      <c r="E6" s="36">
        <f t="shared" si="0"/>
        <v>5.6199999999999992</v>
      </c>
    </row>
    <row r="11" spans="1:11" ht="18" outlineLevel="1" x14ac:dyDescent="0.3">
      <c r="A11" s="39" t="s">
        <v>4</v>
      </c>
      <c r="B11" s="11" t="str">
        <f>B4</f>
        <v>GAJARDO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63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63</v>
      </c>
      <c r="G14" s="12">
        <f>IF(F14="X",60*0.25,"")</f>
        <v>15</v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63</v>
      </c>
      <c r="E15" s="12">
        <f>IF(D15="X",100*0.2,"")</f>
        <v>20</v>
      </c>
      <c r="F15" s="12"/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ref="D16:D17" si="4">IF($C16=CL,"X","")</f>
        <v>X</v>
      </c>
      <c r="E16" s="12">
        <f>IF(D16="X",100*0.05,"")</f>
        <v>5</v>
      </c>
      <c r="F16" s="12" t="str">
        <f t="shared" ref="F16:F17" si="5">IF($C16=L,"X","")</f>
        <v/>
      </c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4"/>
        <v>X</v>
      </c>
      <c r="E17" s="12">
        <f>IF(D17="X",100*0.05,"")</f>
        <v>5</v>
      </c>
      <c r="F17" s="12" t="str">
        <f t="shared" si="5"/>
        <v/>
      </c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84</v>
      </c>
      <c r="D20" s="13"/>
      <c r="E20" s="13">
        <f>SUM(E13:E19)</f>
        <v>60</v>
      </c>
      <c r="F20" s="13"/>
      <c r="G20" s="13">
        <f>SUM(G13:G19)</f>
        <v>24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5.8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HERRERA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63</v>
      </c>
      <c r="G26" s="12">
        <f>IF(F26="X",60*0.15,"")</f>
        <v>9</v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63</v>
      </c>
      <c r="G27" s="12">
        <f>IF(F27="X",60*0.25,"")</f>
        <v>15</v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63</v>
      </c>
      <c r="E28" s="12">
        <f>IF(D28="X",100*0.2,"")</f>
        <v>20</v>
      </c>
      <c r="F28" s="12"/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ref="D29:D30" si="10">IF($C29=CL,"X","")</f>
        <v>X</v>
      </c>
      <c r="E29" s="12">
        <f>IF(D29="X",100*0.05,"")</f>
        <v>5</v>
      </c>
      <c r="F29" s="12" t="str">
        <f t="shared" ref="F29:F30" si="11">IF($C29=L,"X","")</f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10"/>
        <v>X</v>
      </c>
      <c r="E30" s="12">
        <f>IF(D30="X",100*0.05,"")</f>
        <v>5</v>
      </c>
      <c r="F30" s="12" t="str">
        <f t="shared" si="11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5">
      <c r="A33" s="40"/>
      <c r="B33" s="18" t="s">
        <v>12</v>
      </c>
      <c r="C33" s="22">
        <f>E33+G33+I33+K33</f>
        <v>84</v>
      </c>
      <c r="D33" s="13"/>
      <c r="E33" s="13">
        <f>SUM(E26:E32)</f>
        <v>60</v>
      </c>
      <c r="F33" s="13"/>
      <c r="G33" s="13">
        <f>SUM(G26:G32)</f>
        <v>24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5.8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 xml:space="preserve">LEIVA 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63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63</v>
      </c>
      <c r="G40" s="12">
        <f>IF(F40="X",60*0.25,"")</f>
        <v>15</v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">
        <v>63</v>
      </c>
      <c r="E41" s="12">
        <f>IF(D41="X",100*0.2,"")</f>
        <v>20</v>
      </c>
      <c r="F41" s="12"/>
      <c r="G41" s="12" t="str">
        <f>IF(F41="X",60*0.2,"")</f>
        <v/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ref="D42:D43" si="15">IF($C42=CL,"X","")</f>
        <v>X</v>
      </c>
      <c r="E42" s="12">
        <f>IF(D42="X",100*0.05,"")</f>
        <v>5</v>
      </c>
      <c r="F42" s="12" t="str">
        <f t="shared" ref="F42:F43" si="16">IF($C42=L,"X","")</f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5"/>
        <v>X</v>
      </c>
      <c r="E43" s="12">
        <f>IF(D43="X",100*0.05,"")</f>
        <v>5</v>
      </c>
      <c r="F43" s="12" t="str">
        <f t="shared" si="16"/>
        <v/>
      </c>
      <c r="G43" s="12" t="str">
        <f>IF(F43="X",60*0.05,"")</f>
        <v/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 x14ac:dyDescent="0.35">
      <c r="A46" s="40"/>
      <c r="B46" s="18" t="s">
        <v>12</v>
      </c>
      <c r="C46" s="22">
        <f>E46+G46+I46+K46</f>
        <v>84</v>
      </c>
      <c r="D46" s="13"/>
      <c r="E46" s="13">
        <f>SUM(E39:E45)</f>
        <v>60</v>
      </c>
      <c r="F46" s="13"/>
      <c r="G46" s="13">
        <f>SUM(G39:G45)</f>
        <v>24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5.8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GAJARDO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63</v>
      </c>
      <c r="G52" s="12">
        <f>IF(F52="X",60*0.15,"")</f>
        <v>9</v>
      </c>
      <c r="H52" s="12" t="str">
        <f t="shared" ref="H52:H56" si="17">IF($C52=ML,"X","")</f>
        <v/>
      </c>
      <c r="I52" s="12" t="str">
        <f>IF(H52="X",30*0.15,"")</f>
        <v/>
      </c>
      <c r="J52" s="12" t="str">
        <f t="shared" ref="J52:J56" si="18">IF($C52=NL,"X","")</f>
        <v/>
      </c>
      <c r="K52" s="12" t="str">
        <f t="shared" ref="K52:K58" si="19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63</v>
      </c>
      <c r="G53" s="12">
        <f>IF(F53="X",60*0.25,"")</f>
        <v>15</v>
      </c>
      <c r="H53" s="12" t="str">
        <f t="shared" si="17"/>
        <v/>
      </c>
      <c r="I53" s="12" t="str">
        <f>IF(H53="X",30*0.25,"")</f>
        <v/>
      </c>
      <c r="J53" s="12" t="str">
        <f t="shared" si="18"/>
        <v/>
      </c>
      <c r="K53" s="12" t="str">
        <f t="shared" si="19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63</v>
      </c>
      <c r="G54" s="12">
        <f>IF(F54="X",60*0.2,"")</f>
        <v>12</v>
      </c>
      <c r="H54" s="12" t="str">
        <f t="shared" si="17"/>
        <v/>
      </c>
      <c r="I54" s="12" t="str">
        <f>IF(H54="X",30*0.2,"")</f>
        <v/>
      </c>
      <c r="J54" s="12" t="str">
        <f t="shared" si="18"/>
        <v/>
      </c>
      <c r="K54" s="12" t="str">
        <f t="shared" si="19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ref="D55:D56" si="20">IF($C55=CL,"X","")</f>
        <v>X</v>
      </c>
      <c r="E55" s="12">
        <f>IF(D55="X",100*0.05,"")</f>
        <v>5</v>
      </c>
      <c r="F55" s="12" t="str">
        <f t="shared" ref="F55:F56" si="21">IF($C55=L,"X","")</f>
        <v/>
      </c>
      <c r="G55" s="12" t="str">
        <f>IF(F55="X",60*0.05,"")</f>
        <v/>
      </c>
      <c r="H55" s="12" t="str">
        <f t="shared" si="17"/>
        <v/>
      </c>
      <c r="I55" s="12" t="str">
        <f>IF(H55="X",30*0.05,"")</f>
        <v/>
      </c>
      <c r="J55" s="12" t="str">
        <f t="shared" si="18"/>
        <v/>
      </c>
      <c r="K55" s="12" t="str">
        <f t="shared" si="19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20"/>
        <v>X</v>
      </c>
      <c r="E56" s="12">
        <f>IF(D56="X",100*0.05,"")</f>
        <v>5</v>
      </c>
      <c r="F56" s="12" t="str">
        <f t="shared" si="21"/>
        <v/>
      </c>
      <c r="G56" s="12" t="str">
        <f>IF(F56="X",60*0.05,"")</f>
        <v/>
      </c>
      <c r="H56" s="12" t="str">
        <f t="shared" si="17"/>
        <v/>
      </c>
      <c r="I56" s="12" t="str">
        <f>IF(H56="X",30*0.05,"")</f>
        <v/>
      </c>
      <c r="J56" s="12" t="str">
        <f t="shared" si="18"/>
        <v/>
      </c>
      <c r="K56" s="12" t="str">
        <f t="shared" si="19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9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9"/>
        <v/>
      </c>
    </row>
    <row r="59" spans="1:11" ht="24" customHeight="1" x14ac:dyDescent="0.35">
      <c r="A59" s="40"/>
      <c r="B59" s="18" t="s">
        <v>12</v>
      </c>
      <c r="C59" s="22">
        <f>E59+G59+I59+K59</f>
        <v>76</v>
      </c>
      <c r="D59" s="13"/>
      <c r="E59" s="13">
        <f>SUM(E52:E58)</f>
        <v>40</v>
      </c>
      <c r="F59" s="13"/>
      <c r="G59" s="13">
        <f>SUM(G52:G58)</f>
        <v>36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5.2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HERRERA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63</v>
      </c>
      <c r="G65" s="12">
        <f>IF(F65="X",60*0.15,"")</f>
        <v>9</v>
      </c>
      <c r="H65" s="12" t="str">
        <f t="shared" ref="H65:H69" si="22">IF($C65=ML,"X","")</f>
        <v/>
      </c>
      <c r="I65" s="12" t="str">
        <f>IF(H65="X",30*0.15,"")</f>
        <v/>
      </c>
      <c r="J65" s="12" t="str">
        <f t="shared" ref="J65:J69" si="23">IF($C65=NL,"X","")</f>
        <v/>
      </c>
      <c r="K65" s="12" t="str">
        <f t="shared" ref="K65:K71" si="24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63</v>
      </c>
      <c r="G66" s="12">
        <f>IF(F66="X",60*0.25,"")</f>
        <v>15</v>
      </c>
      <c r="H66" s="12" t="str">
        <f t="shared" si="22"/>
        <v/>
      </c>
      <c r="I66" s="12" t="str">
        <f>IF(H66="X",30*0.25,"")</f>
        <v/>
      </c>
      <c r="J66" s="12" t="str">
        <f t="shared" si="23"/>
        <v/>
      </c>
      <c r="K66" s="12" t="str">
        <f t="shared" si="24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2"/>
        <v/>
      </c>
      <c r="I67" s="12" t="str">
        <f>IF(H67="X",30*0.2,"")</f>
        <v/>
      </c>
      <c r="J67" s="12" t="str">
        <f t="shared" si="23"/>
        <v/>
      </c>
      <c r="K67" s="12" t="str">
        <f t="shared" si="24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ref="D68:D69" si="25">IF($C68=CL,"X","")</f>
        <v>X</v>
      </c>
      <c r="E68" s="12">
        <f>IF(D68="X",100*0.05,"")</f>
        <v>5</v>
      </c>
      <c r="F68" s="12" t="str">
        <f t="shared" ref="F68:F69" si="26">IF($C68=L,"X","")</f>
        <v/>
      </c>
      <c r="G68" s="12" t="str">
        <f>IF(F68="X",60*0.05,"")</f>
        <v/>
      </c>
      <c r="H68" s="12" t="str">
        <f t="shared" si="22"/>
        <v/>
      </c>
      <c r="I68" s="12" t="str">
        <f>IF(H68="X",30*0.05,"")</f>
        <v/>
      </c>
      <c r="J68" s="12" t="str">
        <f t="shared" si="23"/>
        <v/>
      </c>
      <c r="K68" s="12" t="str">
        <f t="shared" si="24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5"/>
        <v>X</v>
      </c>
      <c r="E69" s="12">
        <f>IF(D69="X",100*0.05,"")</f>
        <v>5</v>
      </c>
      <c r="F69" s="12" t="str">
        <f t="shared" si="26"/>
        <v/>
      </c>
      <c r="G69" s="12" t="str">
        <f>IF(F69="X",60*0.05,"")</f>
        <v/>
      </c>
      <c r="H69" s="12" t="str">
        <f t="shared" si="22"/>
        <v/>
      </c>
      <c r="I69" s="12" t="str">
        <f>IF(H69="X",30*0.05,"")</f>
        <v/>
      </c>
      <c r="J69" s="12" t="str">
        <f t="shared" si="23"/>
        <v/>
      </c>
      <c r="K69" s="12" t="str">
        <f t="shared" si="24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4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4"/>
        <v/>
      </c>
    </row>
    <row r="72" spans="1:11" ht="24" customHeight="1" x14ac:dyDescent="0.35">
      <c r="A72" s="40"/>
      <c r="B72" s="18" t="s">
        <v>12</v>
      </c>
      <c r="C72" s="22">
        <f>E72+G72+I72+K72</f>
        <v>76</v>
      </c>
      <c r="D72" s="13"/>
      <c r="E72" s="13">
        <f>SUM(E65:E71)</f>
        <v>40</v>
      </c>
      <c r="F72" s="13"/>
      <c r="G72" s="13">
        <f>SUM(G65:G71)</f>
        <v>36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5.2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 xml:space="preserve">LEIVA 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63</v>
      </c>
      <c r="G78" s="12">
        <f>IF(F78="X",60*0.15,"")</f>
        <v>9</v>
      </c>
      <c r="H78" s="12" t="str">
        <f t="shared" ref="H78:H82" si="27">IF($C78=ML,"X","")</f>
        <v/>
      </c>
      <c r="I78" s="12" t="str">
        <f>IF(H78="X",30*0.15,"")</f>
        <v/>
      </c>
      <c r="J78" s="12" t="str">
        <f t="shared" ref="J78:J82" si="28">IF($C78=NL,"X","")</f>
        <v/>
      </c>
      <c r="K78" s="12" t="str">
        <f t="shared" ref="K78:K84" si="29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63</v>
      </c>
      <c r="G79" s="12">
        <f>IF(F79="X",60*0.25,"")</f>
        <v>15</v>
      </c>
      <c r="H79" s="12" t="str">
        <f t="shared" si="27"/>
        <v/>
      </c>
      <c r="I79" s="12" t="str">
        <f>IF(H79="X",30*0.25,"")</f>
        <v/>
      </c>
      <c r="J79" s="12" t="str">
        <f t="shared" si="28"/>
        <v/>
      </c>
      <c r="K79" s="12" t="str">
        <f t="shared" si="29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7"/>
        <v/>
      </c>
      <c r="I80" s="12" t="str">
        <f>IF(H80="X",30*0.2,"")</f>
        <v/>
      </c>
      <c r="J80" s="12" t="str">
        <f t="shared" si="28"/>
        <v/>
      </c>
      <c r="K80" s="12" t="str">
        <f t="shared" si="29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ref="D81:D82" si="30">IF($C81=CL,"X","")</f>
        <v>X</v>
      </c>
      <c r="E81" s="12">
        <f>IF(D81="X",100*0.05,"")</f>
        <v>5</v>
      </c>
      <c r="F81" s="12" t="str">
        <f t="shared" ref="F81:F82" si="31">IF($C81=L,"X","")</f>
        <v/>
      </c>
      <c r="G81" s="12" t="str">
        <f>IF(F81="X",60*0.05,"")</f>
        <v/>
      </c>
      <c r="H81" s="12" t="str">
        <f t="shared" si="27"/>
        <v/>
      </c>
      <c r="I81" s="12" t="str">
        <f>IF(H81="X",30*0.05,"")</f>
        <v/>
      </c>
      <c r="J81" s="12" t="str">
        <f t="shared" si="28"/>
        <v/>
      </c>
      <c r="K81" s="12" t="str">
        <f t="shared" si="29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30"/>
        <v>X</v>
      </c>
      <c r="E82" s="12">
        <f>IF(D82="X",100*0.05,"")</f>
        <v>5</v>
      </c>
      <c r="F82" s="12" t="str">
        <f t="shared" si="31"/>
        <v/>
      </c>
      <c r="G82" s="12" t="str">
        <f>IF(F82="X",60*0.05,"")</f>
        <v/>
      </c>
      <c r="H82" s="12" t="str">
        <f t="shared" si="27"/>
        <v/>
      </c>
      <c r="I82" s="12" t="str">
        <f>IF(H82="X",30*0.05,"")</f>
        <v/>
      </c>
      <c r="J82" s="12" t="str">
        <f t="shared" si="28"/>
        <v/>
      </c>
      <c r="K82" s="12" t="str">
        <f t="shared" si="29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9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9"/>
        <v/>
      </c>
    </row>
    <row r="85" spans="1:11" ht="24" customHeight="1" x14ac:dyDescent="0.35">
      <c r="A85" s="40"/>
      <c r="B85" s="18" t="s">
        <v>12</v>
      </c>
      <c r="C85" s="22">
        <f>E85+G85+I85+K85</f>
        <v>76</v>
      </c>
      <c r="D85" s="13"/>
      <c r="E85" s="13">
        <f>SUM(E78:E84)</f>
        <v>40</v>
      </c>
      <c r="F85" s="13"/>
      <c r="G85" s="13">
        <f>SUM(G78:G84)</f>
        <v>36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5.2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Sebastian Gajardo</cp:lastModifiedBy>
  <cp:revision/>
  <dcterms:created xsi:type="dcterms:W3CDTF">2023-08-07T04:08:01Z</dcterms:created>
  <dcterms:modified xsi:type="dcterms:W3CDTF">2025-12-09T01:29:48Z</dcterms:modified>
  <cp:category/>
  <cp:contentStatus/>
</cp:coreProperties>
</file>
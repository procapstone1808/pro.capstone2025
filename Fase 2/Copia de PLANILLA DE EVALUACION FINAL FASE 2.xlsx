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ebas\Downloads\"/>
    </mc:Choice>
  </mc:AlternateContent>
  <xr:revisionPtr revIDLastSave="0" documentId="13_ncr:1_{0D30066D-E8C7-42AD-8390-B38E886B449F}" xr6:coauthVersionLast="47" xr6:coauthVersionMax="47" xr10:uidLastSave="{00000000-0000-0000-0000-000000000000}"/>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G64" i="1" s="1"/>
  <c r="E62" i="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E64" i="1" l="1"/>
  <c r="I64" i="1"/>
  <c r="K64"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64" i="1" l="1"/>
  <c r="C65" i="1" s="1"/>
  <c r="C43" i="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<sst xmlns="http://schemas.openxmlformats.org/spreadsheetml/2006/main" count="169" uniqueCount="80">
  <si>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</si>
  <si>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</si>
  <si>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</si>
  <si>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</si>
  <si>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</si>
  <si>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</si>
  <si>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</si>
  <si>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</si>
  <si>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</si>
  <si>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</si>
  <si>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</si>
  <si>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</si>
  <si>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</si>
  <si>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</si>
  <si>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</si>
  <si>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</si>
  <si>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</si>
  <si>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</si>
  <si>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</si>
  <si>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</si>
  <si>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</si>
  <si>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</si>
  <si>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</si>
  <si>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</si>
  <si>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</si>
  <si>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</si>
  <si>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</si>
  <si>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</si>
  <si>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</si>
  <si>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</si>
  <si>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</si>
  <si>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</si>
  <si>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</si>
  <si>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</si>
  <si>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</si>
  <si>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</si>
  <si>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</si>
  <si>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</si>
  <si>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</si>
  <si>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</si>
  <si>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</si>
  <si>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</si>
  <si>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</si>
  <si>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</si>
  <si>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</si>
  <si>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</si>
  <si>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</si>
  <si>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</si>
  <si>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</si>
  <si>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</si>
  <si>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</si>
  <si>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</si>
  <si>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</si>
  <si>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</si>
  <si>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</si>
  <si>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</si>
  <si>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</si>
  <si>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</si>
  <si>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</si>
  <si>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</si>
  <si>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</si>
  <si>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</si>
  <si>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</si>
  <si>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</si>
  <si>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</si>
  <si>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</si>
  <si>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</si>
  <si>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</si>
  <si>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</si>
  <si>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</si>
  <si>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</si>
  <si>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</si>
  <si>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</si>
  <si>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</si>
  <si>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</si>
  <si>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</si>
  <si>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</si>
  <si>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herrera</t>
  </si>
  <si>
    <t xml:space="preserve">leiva </t>
  </si>
  <si>
    <t xml:space="preserve">gajardo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</si>
</sst>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Border="1" applyAlignment="1">
      <alignment horizontal="left"/>
    </xf>
    <xf numFmtId="0" fontId="0" fillId="0" borderId="24" xfId="0"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1" fillId="4" borderId="4" xfId="0" applyFont="1" applyFill="1" applyBorder="1" applyAlignment="1">
      <alignment horizontal="center" vertical="center"/>
    </xf>
    <xf numFmtId="0" fontId="2" fillId="0" borderId="14" xfId="0" applyFont="1" applyBorder="1"/>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6" t="s">
        <v>0</v>
      </c>
      <c r="B1" s="56" t="s">
        <v>1</v>
      </c>
      <c r="C1" s="56"/>
      <c r="D1" s="56"/>
      <c r="E1" s="56"/>
      <c r="F1" s="56" t="s">
        <v>2</v>
      </c>
    </row>
    <row r="2" spans="1:6" x14ac:dyDescent="0.3">
      <c r="A2" s="56"/>
      <c r="B2" s="57" t="s">
        <v>3</v>
      </c>
      <c r="C2" s="57" t="s">
        <v>4</v>
      </c>
      <c r="D2" s="35" t="s">
        <v>5</v>
      </c>
      <c r="E2" s="34" t="s">
        <v>6</v>
      </c>
      <c r="F2" s="56"/>
    </row>
    <row r="3" spans="1:6" x14ac:dyDescent="0.3">
      <c r="A3" s="56"/>
      <c r="B3" s="57"/>
      <c r="C3" s="57"/>
      <c r="D3" s="36">
        <v>-0.3</v>
      </c>
      <c r="E3" s="36">
        <v>0</v>
      </c>
      <c r="F3" s="56"/>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3">
        <v>1</v>
      </c>
    </row>
    <row r="3" spans="1:11" ht="14.4" x14ac:dyDescent="0.3">
      <c r="B3" s="3" t="s">
        <v>57</v>
      </c>
      <c r="C3" s="39" t="s">
        <v>58</v>
      </c>
      <c r="D3" s="40" t="s">
        <v>59</v>
      </c>
      <c r="E3" s="63"/>
    </row>
    <row r="4" spans="1:11" ht="14.4" x14ac:dyDescent="0.3">
      <c r="A4" s="4">
        <v>1</v>
      </c>
      <c r="B4" s="27" t="s">
        <v>77</v>
      </c>
      <c r="C4" s="5">
        <f>EVALUACION1!$C$21</f>
        <v>5.8</v>
      </c>
      <c r="D4" s="5">
        <f>$C$32</f>
        <v>7</v>
      </c>
      <c r="E4" s="6">
        <f>C4*C$2+D4*D$2</f>
        <v>6.1</v>
      </c>
      <c r="G4" s="1"/>
    </row>
    <row r="5" spans="1:11" ht="14.4" x14ac:dyDescent="0.3">
      <c r="A5" s="4">
        <v>2</v>
      </c>
      <c r="B5" s="27" t="s">
        <v>78</v>
      </c>
      <c r="C5" s="5">
        <f>EVALUACION1!$C$21</f>
        <v>5.8</v>
      </c>
      <c r="D5" s="5">
        <f>C44</f>
        <v>7</v>
      </c>
      <c r="E5" s="6">
        <f t="shared" ref="E5:E6" si="0">C5*C$2+D5*D$2</f>
        <v>6.1</v>
      </c>
      <c r="G5" s="1"/>
    </row>
    <row r="6" spans="1:11" ht="14.4" x14ac:dyDescent="0.3">
      <c r="A6" s="4">
        <v>3</v>
      </c>
      <c r="B6" s="51" t="s">
        <v>79</v>
      </c>
      <c r="C6" s="52">
        <f>EVALUACION1!$C$21</f>
        <v>5.8</v>
      </c>
      <c r="D6" s="52">
        <f>C55</f>
        <v>7</v>
      </c>
      <c r="E6" s="53">
        <f t="shared" si="0"/>
        <v>6.1</v>
      </c>
      <c r="G6" s="1"/>
    </row>
    <row r="7" spans="1:11" ht="15" customHeight="1" x14ac:dyDescent="0.3">
      <c r="A7" s="4">
        <v>4</v>
      </c>
      <c r="B7" s="54"/>
      <c r="C7" s="55"/>
      <c r="D7" s="55"/>
      <c r="E7" s="55"/>
    </row>
    <row r="11" spans="1:11" ht="18" outlineLevel="1" x14ac:dyDescent="0.3">
      <c r="A11" s="74" t="s">
        <v>58</v>
      </c>
      <c r="B11" s="14"/>
      <c r="C11" s="71" t="s">
        <v>60</v>
      </c>
      <c r="D11" s="60" t="s">
        <v>61</v>
      </c>
      <c r="E11" s="72"/>
      <c r="F11" s="72"/>
      <c r="G11" s="72"/>
      <c r="H11" s="72"/>
      <c r="I11" s="72"/>
      <c r="J11" s="72"/>
      <c r="K11" s="59"/>
    </row>
    <row r="12" spans="1:11" ht="14.4" outlineLevel="1" x14ac:dyDescent="0.3">
      <c r="A12" s="62"/>
      <c r="B12" s="24" t="s">
        <v>62</v>
      </c>
      <c r="C12" s="63"/>
      <c r="D12" s="60" t="s">
        <v>63</v>
      </c>
      <c r="E12" s="59"/>
      <c r="F12" s="60" t="s">
        <v>64</v>
      </c>
      <c r="G12" s="59"/>
      <c r="H12" s="58" t="s">
        <v>65</v>
      </c>
      <c r="I12" s="59"/>
      <c r="J12" s="60" t="s">
        <v>6</v>
      </c>
      <c r="K12" s="59"/>
    </row>
    <row r="13" spans="1:11" ht="24" outlineLevel="1" x14ac:dyDescent="0.3">
      <c r="A13" s="75"/>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36" outlineLevel="1" x14ac:dyDescent="0.3">
      <c r="A14" s="7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c r="I14" s="16" t="str">
        <f>IF(H14="X",30*0.2,"")</f>
        <v/>
      </c>
      <c r="J14" s="16" t="str">
        <f t="shared" si="2"/>
        <v/>
      </c>
      <c r="K14" s="16" t="str">
        <f t="shared" si="3"/>
        <v/>
      </c>
    </row>
    <row r="15" spans="1:11" ht="14.4" outlineLevel="1" x14ac:dyDescent="0.3">
      <c r="A15" s="75"/>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x14ac:dyDescent="0.3">
      <c r="A16" s="75"/>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x14ac:dyDescent="0.3">
      <c r="A17" s="75"/>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24" outlineLevel="1" x14ac:dyDescent="0.3">
      <c r="A18" s="75"/>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5" customHeight="1" outlineLevel="1" x14ac:dyDescent="0.3">
      <c r="A19" s="75"/>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5">
      <c r="A20" s="62"/>
      <c r="B20" s="29" t="s">
        <v>66</v>
      </c>
      <c r="C20" s="33">
        <f>E20+G20+I20+K20</f>
        <v>63</v>
      </c>
      <c r="D20" s="19"/>
      <c r="E20" s="19">
        <f>SUM(E13:E19)</f>
        <v>45</v>
      </c>
      <c r="F20" s="19"/>
      <c r="G20" s="19">
        <f>SUM(G13:G19)</f>
        <v>18</v>
      </c>
      <c r="H20" s="19"/>
      <c r="I20" s="19">
        <f>SUM(I13:I19)</f>
        <v>0</v>
      </c>
      <c r="J20" s="19"/>
      <c r="K20" s="19">
        <f>SUM(K13:K19)</f>
        <v>0</v>
      </c>
    </row>
    <row r="21" spans="1:11" ht="15.75" customHeight="1" outlineLevel="1" x14ac:dyDescent="0.35">
      <c r="A21" s="63"/>
      <c r="B21" s="32" t="s">
        <v>67</v>
      </c>
      <c r="C21" s="20">
        <f>VLOOKUP(C20,ESCALA_IEP!A1:B152,2,FALSE)</f>
        <v>5.8</v>
      </c>
    </row>
    <row r="22" spans="1:11" ht="15.75" customHeight="1" x14ac:dyDescent="0.3"/>
    <row r="23" spans="1:11" ht="15.75" customHeight="1" x14ac:dyDescent="0.3"/>
    <row r="24" spans="1:11" ht="15.75" customHeight="1" x14ac:dyDescent="0.3">
      <c r="A24" s="61" t="s">
        <v>59</v>
      </c>
      <c r="B24" s="64" t="s">
        <v>68</v>
      </c>
      <c r="C24" s="65" t="str">
        <f>$B$4</f>
        <v>herrera</v>
      </c>
      <c r="D24" s="66"/>
      <c r="E24" s="66"/>
      <c r="F24" s="66"/>
      <c r="G24" s="66"/>
      <c r="H24" s="66"/>
      <c r="I24" s="66"/>
      <c r="J24" s="66"/>
      <c r="K24" s="67"/>
    </row>
    <row r="25" spans="1:11" ht="15.75" customHeight="1" x14ac:dyDescent="0.3">
      <c r="A25" s="62"/>
      <c r="B25" s="63"/>
      <c r="C25" s="68"/>
      <c r="D25" s="69"/>
      <c r="E25" s="69"/>
      <c r="F25" s="69"/>
      <c r="G25" s="69"/>
      <c r="H25" s="69"/>
      <c r="I25" s="69"/>
      <c r="J25" s="69"/>
      <c r="K25" s="70"/>
    </row>
    <row r="26" spans="1:11" ht="15.75" customHeight="1" x14ac:dyDescent="0.3">
      <c r="A26" s="62"/>
      <c r="B26" s="14" t="s">
        <v>69</v>
      </c>
      <c r="C26" s="71" t="s">
        <v>60</v>
      </c>
      <c r="D26" s="60" t="s">
        <v>61</v>
      </c>
      <c r="E26" s="72"/>
      <c r="F26" s="72"/>
      <c r="G26" s="72"/>
      <c r="H26" s="72"/>
      <c r="I26" s="72"/>
      <c r="J26" s="72"/>
      <c r="K26" s="59"/>
    </row>
    <row r="27" spans="1:11" ht="15.75" customHeight="1" x14ac:dyDescent="0.3">
      <c r="A27" s="62"/>
      <c r="B27" s="15" t="s">
        <v>62</v>
      </c>
      <c r="C27" s="63"/>
      <c r="D27" s="60" t="s">
        <v>63</v>
      </c>
      <c r="E27" s="59"/>
      <c r="F27" s="60" t="s">
        <v>64</v>
      </c>
      <c r="G27" s="59"/>
      <c r="H27" s="58" t="s">
        <v>65</v>
      </c>
      <c r="I27" s="59"/>
      <c r="J27" s="60" t="s">
        <v>6</v>
      </c>
      <c r="K27" s="59"/>
    </row>
    <row r="28" spans="1:11" ht="14.4" x14ac:dyDescent="0.3">
      <c r="A28" s="62"/>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3">
      <c r="A29" s="62"/>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5" customHeight="1" x14ac:dyDescent="0.3">
      <c r="A30" s="62"/>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5">
      <c r="A31" s="62"/>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63"/>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1" t="s">
        <v>59</v>
      </c>
      <c r="B36" s="64" t="s">
        <v>68</v>
      </c>
      <c r="C36" s="65" t="str">
        <f>B5</f>
        <v xml:space="preserve">leiva </v>
      </c>
      <c r="D36" s="66"/>
      <c r="E36" s="66"/>
      <c r="F36" s="66"/>
      <c r="G36" s="66"/>
      <c r="H36" s="66"/>
      <c r="I36" s="66"/>
      <c r="J36" s="66"/>
      <c r="K36" s="67"/>
    </row>
    <row r="37" spans="1:11" ht="15.75" customHeight="1" x14ac:dyDescent="0.3">
      <c r="A37" s="62"/>
      <c r="B37" s="63"/>
      <c r="C37" s="68"/>
      <c r="D37" s="69"/>
      <c r="E37" s="69"/>
      <c r="F37" s="69"/>
      <c r="G37" s="69"/>
      <c r="H37" s="69"/>
      <c r="I37" s="69"/>
      <c r="J37" s="69"/>
      <c r="K37" s="70"/>
    </row>
    <row r="38" spans="1:11" ht="15.75" customHeight="1" x14ac:dyDescent="0.3">
      <c r="A38" s="62"/>
      <c r="B38" s="14" t="s">
        <v>69</v>
      </c>
      <c r="C38" s="71" t="s">
        <v>60</v>
      </c>
      <c r="D38" s="60" t="s">
        <v>61</v>
      </c>
      <c r="E38" s="72"/>
      <c r="F38" s="72"/>
      <c r="G38" s="72"/>
      <c r="H38" s="72"/>
      <c r="I38" s="72"/>
      <c r="J38" s="72"/>
      <c r="K38" s="59"/>
    </row>
    <row r="39" spans="1:11" ht="15.75" customHeight="1" x14ac:dyDescent="0.3">
      <c r="A39" s="62"/>
      <c r="B39" s="15" t="s">
        <v>62</v>
      </c>
      <c r="C39" s="63"/>
      <c r="D39" s="60" t="s">
        <v>63</v>
      </c>
      <c r="E39" s="59"/>
      <c r="F39" s="60" t="s">
        <v>64</v>
      </c>
      <c r="G39" s="59"/>
      <c r="H39" s="58" t="s">
        <v>65</v>
      </c>
      <c r="I39" s="59"/>
      <c r="J39" s="60" t="s">
        <v>6</v>
      </c>
      <c r="K39" s="59"/>
    </row>
    <row r="40" spans="1:11" ht="15.75" customHeight="1" x14ac:dyDescent="0.3">
      <c r="A40" s="62"/>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5" customHeight="1" x14ac:dyDescent="0.3">
      <c r="A41" s="62"/>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ht="14.4" x14ac:dyDescent="0.3">
      <c r="A42" s="62"/>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5">
      <c r="A43" s="62"/>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63"/>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1" t="s">
        <v>59</v>
      </c>
      <c r="B47" s="64" t="s">
        <v>68</v>
      </c>
      <c r="C47" s="65" t="str">
        <f>B6</f>
        <v xml:space="preserve">gajardo </v>
      </c>
      <c r="D47" s="66"/>
      <c r="E47" s="66"/>
      <c r="F47" s="66"/>
      <c r="G47" s="66"/>
      <c r="H47" s="66"/>
      <c r="I47" s="66"/>
      <c r="J47" s="66"/>
      <c r="K47" s="67"/>
    </row>
    <row r="48" spans="1:11" ht="15.75" customHeight="1" x14ac:dyDescent="0.3">
      <c r="A48" s="62"/>
      <c r="B48" s="63"/>
      <c r="C48" s="68"/>
      <c r="D48" s="69"/>
      <c r="E48" s="69"/>
      <c r="F48" s="69"/>
      <c r="G48" s="69"/>
      <c r="H48" s="69"/>
      <c r="I48" s="69"/>
      <c r="J48" s="69"/>
      <c r="K48" s="70"/>
    </row>
    <row r="49" spans="1:11" ht="15.75" customHeight="1" x14ac:dyDescent="0.3">
      <c r="A49" s="62"/>
      <c r="B49" s="14" t="s">
        <v>69</v>
      </c>
      <c r="C49" s="71" t="s">
        <v>60</v>
      </c>
      <c r="D49" s="60" t="s">
        <v>61</v>
      </c>
      <c r="E49" s="72"/>
      <c r="F49" s="72"/>
      <c r="G49" s="72"/>
      <c r="H49" s="72"/>
      <c r="I49" s="72"/>
      <c r="J49" s="72"/>
      <c r="K49" s="59"/>
    </row>
    <row r="50" spans="1:11" ht="15.75" customHeight="1" x14ac:dyDescent="0.3">
      <c r="A50" s="62"/>
      <c r="B50" s="15" t="s">
        <v>62</v>
      </c>
      <c r="C50" s="63"/>
      <c r="D50" s="60" t="s">
        <v>63</v>
      </c>
      <c r="E50" s="59"/>
      <c r="F50" s="60" t="s">
        <v>64</v>
      </c>
      <c r="G50" s="59"/>
      <c r="H50" s="58" t="s">
        <v>65</v>
      </c>
      <c r="I50" s="59"/>
      <c r="J50" s="60" t="s">
        <v>6</v>
      </c>
      <c r="K50" s="59"/>
    </row>
    <row r="51" spans="1:11" ht="15.75" customHeight="1" x14ac:dyDescent="0.3">
      <c r="A51" s="62"/>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5" customHeight="1" x14ac:dyDescent="0.3">
      <c r="A52" s="62"/>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ht="14.4" x14ac:dyDescent="0.3">
      <c r="A53" s="62"/>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5">
      <c r="A54" s="62"/>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63"/>
      <c r="B55" s="17" t="s">
        <v>67</v>
      </c>
      <c r="C55" s="20">
        <f>VLOOKUP(C54,ESCALA_TRAB_EQUIP!A1:B52,2,FALSE)</f>
        <v>7</v>
      </c>
    </row>
    <row r="56" spans="1:11" ht="15.75" customHeight="1" x14ac:dyDescent="0.35">
      <c r="B56" s="22"/>
      <c r="C56" s="23"/>
    </row>
    <row r="57" spans="1:11" ht="18.75" customHeight="1" x14ac:dyDescent="0.3">
      <c r="A57" s="61" t="s">
        <v>59</v>
      </c>
      <c r="B57" s="64" t="s">
        <v>68</v>
      </c>
      <c r="C57" s="65"/>
      <c r="D57" s="66"/>
      <c r="E57" s="66"/>
      <c r="F57" s="66"/>
      <c r="G57" s="66"/>
      <c r="H57" s="66"/>
      <c r="I57" s="66"/>
      <c r="J57" s="66"/>
      <c r="K57" s="67"/>
    </row>
    <row r="58" spans="1:11" ht="15.75" customHeight="1" x14ac:dyDescent="0.3">
      <c r="A58" s="62"/>
      <c r="B58" s="63"/>
      <c r="C58" s="68"/>
      <c r="D58" s="69"/>
      <c r="E58" s="69"/>
      <c r="F58" s="69"/>
      <c r="G58" s="69"/>
      <c r="H58" s="69"/>
      <c r="I58" s="69"/>
      <c r="J58" s="69"/>
      <c r="K58" s="70"/>
    </row>
    <row r="59" spans="1:11" ht="15.75" customHeight="1" x14ac:dyDescent="0.3">
      <c r="A59" s="62"/>
      <c r="B59" s="14" t="s">
        <v>69</v>
      </c>
      <c r="C59" s="71" t="s">
        <v>60</v>
      </c>
      <c r="D59" s="60" t="s">
        <v>61</v>
      </c>
      <c r="E59" s="72"/>
      <c r="F59" s="72"/>
      <c r="G59" s="72"/>
      <c r="H59" s="72"/>
      <c r="I59" s="72"/>
      <c r="J59" s="72"/>
      <c r="K59" s="59"/>
    </row>
    <row r="60" spans="1:11" ht="15.75" customHeight="1" x14ac:dyDescent="0.3">
      <c r="A60" s="62"/>
      <c r="B60" s="15" t="s">
        <v>62</v>
      </c>
      <c r="C60" s="63"/>
      <c r="D60" s="60" t="s">
        <v>63</v>
      </c>
      <c r="E60" s="59"/>
      <c r="F60" s="60" t="s">
        <v>64</v>
      </c>
      <c r="G60" s="59"/>
      <c r="H60" s="58" t="s">
        <v>65</v>
      </c>
      <c r="I60" s="59"/>
      <c r="J60" s="60" t="s">
        <v>6</v>
      </c>
      <c r="K60" s="59"/>
    </row>
    <row r="61" spans="1:11" ht="15.75" customHeight="1" x14ac:dyDescent="0.3">
      <c r="A61" s="62"/>
      <c r="B61" s="30">
        <f>RUBRICA!A16</f>
        <v>0</v>
      </c>
      <c r="C61" s="28" t="s">
        <v>63</v>
      </c>
      <c r="D61" s="16"/>
      <c r="E61" s="16" t="str">
        <f>IF(D61="X",100*0.05,"")</f>
        <v/>
      </c>
      <c r="F61" s="16"/>
      <c r="G61" s="16" t="str">
        <f>IF(F61="X",60*0.05,"")</f>
        <v/>
      </c>
      <c r="H61" s="16" t="str">
        <f t="shared" ref="H61:H63" si="14">IF($C61=ML,"X","")</f>
        <v/>
      </c>
      <c r="I61" s="16" t="str">
        <f>IF(H61="X",30*0.05,"")</f>
        <v/>
      </c>
      <c r="J61" s="16" t="str">
        <f t="shared" ref="J61:J63" si="15">IF($C61=NL,"X","")</f>
        <v/>
      </c>
      <c r="K61" s="16" t="str">
        <f t="shared" ref="K61:K63" si="16">IF($J61="X",0,"")</f>
        <v/>
      </c>
    </row>
    <row r="62" spans="1:11" ht="15.75" customHeight="1" x14ac:dyDescent="0.3">
      <c r="A62" s="62"/>
      <c r="B62" s="30">
        <f>RUBRICA!A21</f>
        <v>0</v>
      </c>
      <c r="C62" s="28" t="s">
        <v>63</v>
      </c>
      <c r="D62" s="16"/>
      <c r="E62" s="16" t="str">
        <f>IF(D62="X",100*0.1,"")</f>
        <v/>
      </c>
      <c r="F62" s="16"/>
      <c r="G62" s="16" t="str">
        <f>IF(F62="X",60*0.1,"")</f>
        <v/>
      </c>
      <c r="H62" s="16" t="str">
        <f t="shared" si="14"/>
        <v/>
      </c>
      <c r="I62" s="16" t="str">
        <f>IF(H62="X",30*0.1,"")</f>
        <v/>
      </c>
      <c r="J62" s="16" t="str">
        <f t="shared" si="15"/>
        <v/>
      </c>
      <c r="K62" s="16" t="str">
        <f t="shared" si="16"/>
        <v/>
      </c>
    </row>
    <row r="63" spans="1:11" ht="15.75" customHeight="1" x14ac:dyDescent="0.3">
      <c r="A63" s="62"/>
      <c r="B63" s="30">
        <f>RUBRICA!A23</f>
        <v>0</v>
      </c>
      <c r="C63" s="28" t="s">
        <v>63</v>
      </c>
      <c r="D63" s="16"/>
      <c r="E63" s="16" t="str">
        <f>IF(D63="X",100*0.1,"")</f>
        <v/>
      </c>
      <c r="F63" s="16"/>
      <c r="G63" s="16" t="str">
        <f>IF(F63="X",60*0.1,"")</f>
        <v/>
      </c>
      <c r="H63" s="16" t="str">
        <f t="shared" si="14"/>
        <v/>
      </c>
      <c r="I63" s="16" t="str">
        <f>IF(H63="X",30*0.1,"")</f>
        <v/>
      </c>
      <c r="J63" s="16" t="str">
        <f t="shared" si="15"/>
        <v/>
      </c>
      <c r="K63" s="16" t="str">
        <f t="shared" si="16"/>
        <v/>
      </c>
    </row>
    <row r="64" spans="1:11" ht="15.75" customHeight="1" x14ac:dyDescent="0.35">
      <c r="A64" s="62"/>
      <c r="B64" s="21" t="s">
        <v>70</v>
      </c>
      <c r="C64" s="18">
        <f>E64+G64+I64+K64</f>
        <v>0</v>
      </c>
      <c r="D64" s="19"/>
      <c r="E64" s="19">
        <f>SUM(E61:E63)</f>
        <v>0</v>
      </c>
      <c r="F64" s="19"/>
      <c r="G64" s="19">
        <f>SUM(G61:G63)</f>
        <v>0</v>
      </c>
      <c r="H64" s="19"/>
      <c r="I64" s="19">
        <f>SUM(I61:I63)</f>
        <v>0</v>
      </c>
      <c r="J64" s="19"/>
      <c r="K64" s="19">
        <f>SUM(K62:K63)</f>
        <v>0</v>
      </c>
    </row>
    <row r="65" spans="1:3" ht="15.75" customHeight="1" x14ac:dyDescent="0.35">
      <c r="A65" s="63"/>
      <c r="B65" s="17" t="s">
        <v>67</v>
      </c>
      <c r="C65" s="20" t="e">
        <f>VLOOKUP(C64,ESCALA_TRAB_EQUIP!A11:B62,2,FALSE)</f>
        <v>#N/A</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H60:I60"/>
    <mergeCell ref="J60:K60"/>
    <mergeCell ref="A57:A65"/>
    <mergeCell ref="B57:B58"/>
    <mergeCell ref="C57:K58"/>
    <mergeCell ref="C59:C60"/>
    <mergeCell ref="D59:K59"/>
    <mergeCell ref="D60:E60"/>
    <mergeCell ref="F60:G6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73</v>
      </c>
      <c r="B1" s="7" t="s">
        <v>66</v>
      </c>
      <c r="C1" s="8"/>
      <c r="D1" s="8"/>
      <c r="E1" s="9"/>
    </row>
    <row r="2" spans="1:5" ht="43.8" thickBot="1" x14ac:dyDescent="0.35">
      <c r="A2" s="77"/>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Sebastian Gajardo</cp:lastModifiedBy>
  <cp:revision/>
  <dcterms:created xsi:type="dcterms:W3CDTF">2023-08-07T04:08:01Z</dcterms:created>
  <dcterms:modified xsi:type="dcterms:W3CDTF">2025-12-08T22:08:52Z</dcterms:modified>
  <cp:category/>
  <cp:contentStatus/>
</cp:coreProperties>
</file>